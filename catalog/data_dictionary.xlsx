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eus documentos\MBA PUC Rio\Sprint Engenharia de Dados\4 - MVP\renaest_dabertos_20250512\"/>
    </mc:Choice>
  </mc:AlternateContent>
  <xr:revisionPtr revIDLastSave="0" documentId="13_ncr:1_{C8037960-3F87-4EB3-8EEE-A594140FF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ao_Geral" sheetId="1" r:id="rId1"/>
    <sheet name="Dicionario_Campos" sheetId="2" r:id="rId2"/>
    <sheet name="Relacionamentos" sheetId="3" r:id="rId3"/>
    <sheet name="Qualidade" sheetId="4" r:id="rId4"/>
    <sheet name="Fontes" sheetId="5" r:id="rId5"/>
    <sheet name="Notas" sheetId="6" r:id="rId6"/>
  </sheets>
  <calcPr calcId="0"/>
</workbook>
</file>

<file path=xl/sharedStrings.xml><?xml version="1.0" encoding="utf-8"?>
<sst xmlns="http://schemas.openxmlformats.org/spreadsheetml/2006/main" count="403" uniqueCount="244">
  <si>
    <t>Tabela</t>
  </si>
  <si>
    <t>Camada</t>
  </si>
  <si>
    <t>Tipo</t>
  </si>
  <si>
    <t>Granularidade</t>
  </si>
  <si>
    <t>Quantidade observada</t>
  </si>
  <si>
    <t>Descrição</t>
  </si>
  <si>
    <t>workspace.gold.dim_tempo</t>
  </si>
  <si>
    <t>Gold</t>
  </si>
  <si>
    <t>Dimensão</t>
  </si>
  <si>
    <t>1 registro por data de acidente</t>
  </si>
  <si>
    <t>Dimensão calendário derivada das datas presentes nos acidentes.</t>
  </si>
  <si>
    <t>workspace.gold.dim_horario</t>
  </si>
  <si>
    <t>1 registro por horário distinto</t>
  </si>
  <si>
    <t>Dimensão de horário com hora, minuto, segundo e faixa horária.</t>
  </si>
  <si>
    <t>workspace.gold.dim_bairro</t>
  </si>
  <si>
    <t>1 registro por bairro distinto + membro especial</t>
  </si>
  <si>
    <t>Dimensão de bairros informados no RENAEST. id_bairro = -1 representa NAO INFORMADO.</t>
  </si>
  <si>
    <t>workspace.gold.dim_regiao</t>
  </si>
  <si>
    <t>1 registro por Região Administrativa + membro especial</t>
  </si>
  <si>
    <t>Regiões Administrativas obtidas por correspondência exata normalizada com referência oficial IPP/PCRJ. id_regiao = -1 representa NAO INFORMADO.</t>
  </si>
  <si>
    <t>workspace.gold.fato_acidentes</t>
  </si>
  <si>
    <t>Fato</t>
  </si>
  <si>
    <t>1 registro por acidente</t>
  </si>
  <si>
    <t>Fato central de acidentes do município do Rio de Janeiro, com quatro chaves dimensionais e medidas do evento.</t>
  </si>
  <si>
    <t>Campo</t>
  </si>
  <si>
    <t>Tipo físico</t>
  </si>
  <si>
    <t>Papel</t>
  </si>
  <si>
    <t>Domínio / regra observada</t>
  </si>
  <si>
    <t>Origem / linhagem</t>
  </si>
  <si>
    <t>data_acidente</t>
  </si>
  <si>
    <t>date</t>
  </si>
  <si>
    <t>Sim</t>
  </si>
  <si>
    <t>Data calendário do acidente.</t>
  </si>
  <si>
    <t>Datas observadas entre 2018-01-01 e 2024-11-30.</t>
  </si>
  <si>
    <t>Derivada de Silver acidentes.</t>
  </si>
  <si>
    <t>id_tempo</t>
  </si>
  <si>
    <t>integer</t>
  </si>
  <si>
    <t>Chave da dimensão Tempo no formato yyyyMMdd.</t>
  </si>
  <si>
    <t>Inteiro derivado da data.</t>
  </si>
  <si>
    <t>Derivada de data_acidente.</t>
  </si>
  <si>
    <t>ano</t>
  </si>
  <si>
    <t>Não</t>
  </si>
  <si>
    <t>Ano da data do acidente.</t>
  </si>
  <si>
    <t>2018 a 2024 no conjunto analisado.</t>
  </si>
  <si>
    <t>Derivado de data_acidente.</t>
  </si>
  <si>
    <t>mes</t>
  </si>
  <si>
    <t>Mês da data do acidente.</t>
  </si>
  <si>
    <t>1 a 12.</t>
  </si>
  <si>
    <t>dia</t>
  </si>
  <si>
    <t>Dia do mês.</t>
  </si>
  <si>
    <t>1 a 31 conforme calendário.</t>
  </si>
  <si>
    <t>dia_semana_num</t>
  </si>
  <si>
    <t>Número do dia da semana.</t>
  </si>
  <si>
    <t>1 a 7.</t>
  </si>
  <si>
    <t>dia_semana</t>
  </si>
  <si>
    <t>string</t>
  </si>
  <si>
    <t>Nome do dia da semana em português.</t>
  </si>
  <si>
    <t>DOMINGO a SABADO.</t>
  </si>
  <si>
    <t>Mapeado a partir de dia_semana_num.</t>
  </si>
  <si>
    <t>trimestre</t>
  </si>
  <si>
    <t>Trimestre calendário.</t>
  </si>
  <si>
    <t>1 a 4.</t>
  </si>
  <si>
    <t>id_horario</t>
  </si>
  <si>
    <t>Chave da dimensão Horário no formato HHMMSS numérico.</t>
  </si>
  <si>
    <t>0 a 235959, conforme horários observados.</t>
  </si>
  <si>
    <t>Derivada de hora/minuto/segundo.</t>
  </si>
  <si>
    <t>horario</t>
  </si>
  <si>
    <t>Horário formatado.</t>
  </si>
  <si>
    <t>HH:MM:SS.</t>
  </si>
  <si>
    <t>Derivado do timestamp de hora do acidente.</t>
  </si>
  <si>
    <t>hora</t>
  </si>
  <si>
    <t>Hora do dia.</t>
  </si>
  <si>
    <t>0 a 23.</t>
  </si>
  <si>
    <t>Extraída de hora_acidente.</t>
  </si>
  <si>
    <t>minuto</t>
  </si>
  <si>
    <t>Minuto do horário.</t>
  </si>
  <si>
    <t>0 a 59.</t>
  </si>
  <si>
    <t>Extraído de hora_acidente.</t>
  </si>
  <si>
    <t>segundo</t>
  </si>
  <si>
    <t>Segundo do horário.</t>
  </si>
  <si>
    <t>faixa_horaria</t>
  </si>
  <si>
    <t>Faixa horária analítica.</t>
  </si>
  <si>
    <t>MADRUGADA, MANHA, TARDE, NOITE.</t>
  </si>
  <si>
    <t>Classificação derivada da hora.</t>
  </si>
  <si>
    <t>id_bairro</t>
  </si>
  <si>
    <t>long</t>
  </si>
  <si>
    <t>Chave determinística da dimensão Bairro.</t>
  </si>
  <si>
    <t>-1 = NAO INFORMADO; demais valores gerados por hash determinístico.</t>
  </si>
  <si>
    <t>Gerada a partir do nome do bairro.</t>
  </si>
  <si>
    <t>bairro</t>
  </si>
  <si>
    <t>Nome do bairro conforme dado tratado.</t>
  </si>
  <si>
    <t>NAO INFORMADO para o membro especial; demais valores distintos da Silver.</t>
  </si>
  <si>
    <t>Origem RENAEST/SENATRAN, após tratamento Silver.</t>
  </si>
  <si>
    <t>id_regiao</t>
  </si>
  <si>
    <t>Código da Região Administrativa.</t>
  </si>
  <si>
    <t>-1 = NAO INFORMADO; demais códigos oficiais utilizados na referência IPP/PCRJ.</t>
  </si>
  <si>
    <t>Correspondência com referência oficial IPP/PCRJ.</t>
  </si>
  <si>
    <t>regiao_administrativa</t>
  </si>
  <si>
    <t>Nome da Região Administrativa.</t>
  </si>
  <si>
    <t>NAO INFORMADO ou nome oficial da RA.</t>
  </si>
  <si>
    <t>Referência oficial IPP/PCRJ.</t>
  </si>
  <si>
    <t>area_planejamento</t>
  </si>
  <si>
    <t>Área de Planejamento associada à RA.</t>
  </si>
  <si>
    <t>1 a 5 para RAs oficiais; nulo no membro -1.</t>
  </si>
  <si>
    <t>num_acidente</t>
  </si>
  <si>
    <t>Identificador</t>
  </si>
  <si>
    <t>Identificador único do acidente.</t>
  </si>
  <si>
    <t>55.046 distintos; 0 nulos e 0 duplicados.</t>
  </si>
  <si>
    <t>Origem RENAEST/SENATRAN.</t>
  </si>
  <si>
    <t>FK</t>
  </si>
  <si>
    <t>Chave estrangeira para dim_tempo.</t>
  </si>
  <si>
    <t>0 nulos; 0 órfãos.</t>
  </si>
  <si>
    <t>Chave estrangeira para dim_horario.</t>
  </si>
  <si>
    <t>Derivada de hora_acidente.</t>
  </si>
  <si>
    <t>Chave estrangeira para dim_bairro.</t>
  </si>
  <si>
    <t>-1 quando bairro não informado; 0 órfãos.</t>
  </si>
  <si>
    <t>Associada pelo bairro tratado.</t>
  </si>
  <si>
    <t>Chave estrangeira para dim_regiao.</t>
  </si>
  <si>
    <t>-1 quando RA não determinada; 0 órfãos.</t>
  </si>
  <si>
    <t>Correspondência exata normalizada Bairro × IPP/PCRJ.</t>
  </si>
  <si>
    <t>qtde_acidente</t>
  </si>
  <si>
    <t>Medida</t>
  </si>
  <si>
    <t>Quantidade de acidentes representada pelo registro.</t>
  </si>
  <si>
    <t>Valor observado = 1 em todos os registros.</t>
  </si>
  <si>
    <t>qtde_acid_com_obitos</t>
  </si>
  <si>
    <t>Medida/atributo</t>
  </si>
  <si>
    <t>Campo de quantidade/indicador de acidente com óbito preservado no tipo físico atual.</t>
  </si>
  <si>
    <t>Tipo físico Gold = string; não utilizado nas análises quantitativas principais.</t>
  </si>
  <si>
    <t>Origem RENAEST/SENATRAN; preservado no modelo Gold.</t>
  </si>
  <si>
    <t>qtde_envolvidos</t>
  </si>
  <si>
    <t>Quantidade de envolvidos no acidente.</t>
  </si>
  <si>
    <t>0 a 28; sem negativos; sem nulos.</t>
  </si>
  <si>
    <t>Origem RENAEST/SENATRAN após tipagem Silver.</t>
  </si>
  <si>
    <t>qtde_feridosilesos</t>
  </si>
  <si>
    <t>Quantidade de feridos/ilesos.</t>
  </si>
  <si>
    <t>qtde_obitos</t>
  </si>
  <si>
    <t>Quantidade de óbitos.</t>
  </si>
  <si>
    <t>0 a 4; sem negativos; sem nulos.</t>
  </si>
  <si>
    <t>tipo_acidente</t>
  </si>
  <si>
    <t>Atributo</t>
  </si>
  <si>
    <t>Tipo do acidente.</t>
  </si>
  <si>
    <t>Categoria textual da fonte tratada.</t>
  </si>
  <si>
    <t>Origem tp_acidente na Silver.</t>
  </si>
  <si>
    <t>condicao_meteorologica</t>
  </si>
  <si>
    <t>Condição meteorológica registrada.</t>
  </si>
  <si>
    <t>Origem cond_meteorologica na Silver.</t>
  </si>
  <si>
    <t>condicao_pista</t>
  </si>
  <si>
    <t>Condição da pista registrada.</t>
  </si>
  <si>
    <t>Origem cond_pista na Silver.</t>
  </si>
  <si>
    <t>fase_dia</t>
  </si>
  <si>
    <t>Fase do dia registrada na fonte.</t>
  </si>
  <si>
    <t>Origem fase_dia na Silver.</t>
  </si>
  <si>
    <t>tipo_pista</t>
  </si>
  <si>
    <t>Tipo de pista.</t>
  </si>
  <si>
    <t>Origem tp_pista na Silver.</t>
  </si>
  <si>
    <t>tipo_pavimento</t>
  </si>
  <si>
    <t>Tipo de pavimento.</t>
  </si>
  <si>
    <t>Origem tp_pavimento na Silver.</t>
  </si>
  <si>
    <t>tipo_rodovia</t>
  </si>
  <si>
    <t>Tipo de rodovia.</t>
  </si>
  <si>
    <t>Origem tp_rodovia na Silver.</t>
  </si>
  <si>
    <t>Tabela origem</t>
  </si>
  <si>
    <t>Campo origem</t>
  </si>
  <si>
    <t>Tabela destino</t>
  </si>
  <si>
    <t>Campo destino</t>
  </si>
  <si>
    <t>Cardinalidade esperada</t>
  </si>
  <si>
    <t>Regra</t>
  </si>
  <si>
    <t>N:1</t>
  </si>
  <si>
    <t>Toda FK possui correspondência; 0 órfãos.</t>
  </si>
  <si>
    <t>-1 representa bairro não informado; 0 órfãos.</t>
  </si>
  <si>
    <t>-1 representa RA não determinada; 0 órfãos.</t>
  </si>
  <si>
    <t>Dimensão de qualidade</t>
  </si>
  <si>
    <t>Objeto</t>
  </si>
  <si>
    <t>Resultado observado</t>
  </si>
  <si>
    <t>Status</t>
  </si>
  <si>
    <t>Interpretação / regra</t>
  </si>
  <si>
    <t>Completude</t>
  </si>
  <si>
    <t>bairro_acidente</t>
  </si>
  <si>
    <t>51,14% preenchido; 26.894 nulos</t>
  </si>
  <si>
    <t>ATENCAO</t>
  </si>
  <si>
    <t>Cobertura territorial limitada, especialmente em 2018-2020.</t>
  </si>
  <si>
    <t>Demais atributos críticos avaliados</t>
  </si>
  <si>
    <t>100% preenchidos</t>
  </si>
  <si>
    <t>OK</t>
  </si>
  <si>
    <t>Sem nulos após tratamento Silver nos atributos avaliados.</t>
  </si>
  <si>
    <t>Unicidade</t>
  </si>
  <si>
    <t>55.046 registros; 55.046 IDs distintos; 0 duplicados</t>
  </si>
  <si>
    <t>Sustenta granularidade de 1 linha = 1 acidente.</t>
  </si>
  <si>
    <t>Validade temporal</t>
  </si>
  <si>
    <t>data_acidente / hora_acidente</t>
  </si>
  <si>
    <t>0 inconsistências</t>
  </si>
  <si>
    <t>Datas 2018-01-01 a 2024-11-30; horas 0-23.</t>
  </si>
  <si>
    <t>Validade quantitativa</t>
  </si>
  <si>
    <t>Medidas principais</t>
  </si>
  <si>
    <t>0 negativos e 0 violações relacionais testadas</t>
  </si>
  <si>
    <t>Óbitos e feridos/ilesos não excederam envolvidos nos testes realizados.</t>
  </si>
  <si>
    <t>Integridade referencial</t>
  </si>
  <si>
    <t>0 FKs nulas e 0 chaves órfãs</t>
  </si>
  <si>
    <t>Integridade preservada nas quatro dimensões.</t>
  </si>
  <si>
    <t>Consistência territorial</t>
  </si>
  <si>
    <t>Bairro x IPP/PCRJ</t>
  </si>
  <si>
    <t>27.075 associados (49,19%); 26.894 sem bairro (48,86%); 1.077 não associados (1,96%)</t>
  </si>
  <si>
    <t>Não foram feitas correções automáticas por similaridade.</t>
  </si>
  <si>
    <t>Reconciliação</t>
  </si>
  <si>
    <t>Bronze Rio -&gt; Silver -&gt; Gold</t>
  </si>
  <si>
    <t>55.046 -&gt; 55.046 -&gt; 55.046</t>
  </si>
  <si>
    <t>Nenhuma perda ou multiplicação de acidentes.</t>
  </si>
  <si>
    <t>Cobertura temporal</t>
  </si>
  <si>
    <t>2023 e 2024</t>
  </si>
  <si>
    <t>10 meses registrados em cada ano</t>
  </si>
  <si>
    <t>Totais anuais desses anos não são diretamente comparáveis aos anos completos.</t>
  </si>
  <si>
    <t>Fonte</t>
  </si>
  <si>
    <t>Uso no modelo</t>
  </si>
  <si>
    <t>Observação</t>
  </si>
  <si>
    <t>URL</t>
  </si>
  <si>
    <t>RENAEST / SENATRAN</t>
  </si>
  <si>
    <t>Fonte principal dos acidentes e atributos do evento</t>
  </si>
  <si>
    <t>Recorte do município do Rio de Janeiro pelo código IBGE 3304557.</t>
  </si>
  <si>
    <t>https://dados.transportes.gov.br/dataset/renaest</t>
  </si>
  <si>
    <t>IPP / Prefeitura da Cidade do Rio de Janeiro</t>
  </si>
  <si>
    <t>Referência oficial de bairros e Regiões Administrativas</t>
  </si>
  <si>
    <t>Utilizada para correspondência exata normalizada Bairro × Região Administrativa.</t>
  </si>
  <si>
    <t>https://pgeo3.rio.rj.gov.br/arcgis/rest/services/Cartografia/Limites_administrativos/FeatureServer/4</t>
  </si>
  <si>
    <t>Prefeitura do Rio - Administração Regional</t>
  </si>
  <si>
    <t>Referência complementar para estrutura administrativa</t>
  </si>
  <si>
    <t>Página institucional consultada durante a validação das Regiões Administrativas.</t>
  </si>
  <si>
    <t>https://carioca.rio/tipos_locais/administracao-regional/</t>
  </si>
  <si>
    <t>Catálogo de Dados — MVP Pipeline de Dados PUC-Rio</t>
  </si>
  <si>
    <t>Escopo</t>
  </si>
  <si>
    <t>Camada Gold do Lakehouse de acidentes de trânsito no município do Rio de Janeiro.</t>
  </si>
  <si>
    <t>Granularidade da fato</t>
  </si>
  <si>
    <t>1 registro = 1 acidente. num_acidente foi validado com 55.046 valores distintos, sem nulos e sem duplicidades.</t>
  </si>
  <si>
    <t>Membros especiais</t>
  </si>
  <si>
    <t>id_bairro = -1 e id_regiao = -1 representam informação territorial não disponível/determinada e são membros válidos das respectivas dimensões.</t>
  </si>
  <si>
    <t>Região Administrativa</t>
  </si>
  <si>
    <t>A associação territorial usa correspondência exata após normalização determinística do nome do bairro com referência oficial IPP/PCRJ. Não foram aceitas sugestões aproximadas por similaridade.</t>
  </si>
  <si>
    <t>Limitação territorial</t>
  </si>
  <si>
    <t>A completude de bairro é 51,14% no período total e é praticamente inexistente em 2018-2020; análises territoriais devem explicitar essa limitação.</t>
  </si>
  <si>
    <t>Limitação temporal</t>
  </si>
  <si>
    <t>2023 e 2024 possuem 10 meses registrados; totais anuais desses anos não devem ser comparados diretamente a anos com 12 meses.</t>
  </si>
  <si>
    <t>Tipo físico observado</t>
  </si>
  <si>
    <t>qtde_acid_com_obitos está fisicamente como string na Gold. O catálogo registra o schema persistido sem alterar o pipeline; o campo não foi utilizado nas análises quantitativas principais.</t>
  </si>
  <si>
    <t>Versão</t>
  </si>
  <si>
    <t>Catálogo gerado a partir dos schemas físicos e validações concluídas em 19/09/2026.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</si>
</sst>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17365D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saoGeralTable" displayName="VisaoGeralTable" ref="A1:F6" totalsRowShown="0">
  <tableColumns count="6">
    <tableColumn id="1" xr3:uid="{00000000-0010-0000-0000-000001000000}" name="Tabela"/>
    <tableColumn id="2" xr3:uid="{00000000-0010-0000-0000-000002000000}" name="Camada"/>
    <tableColumn id="3" xr3:uid="{00000000-0010-0000-0000-000003000000}" name="Tipo"/>
    <tableColumn id="4" xr3:uid="{00000000-0010-0000-0000-000004000000}" name="Granularidade"/>
    <tableColumn id="5" xr3:uid="{00000000-0010-0000-0000-000005000000}" name="Quantidade observada"/>
    <tableColumn id="6" xr3:uid="{00000000-0010-0000-0000-000006000000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ionarioCamposTable" displayName="DicionarioCamposTable" ref="A1:G37" totalsRowShown="0">
  <tableColumns count="7">
    <tableColumn id="1" xr3:uid="{00000000-0010-0000-0100-000001000000}" name="Tabela"/>
    <tableColumn id="2" xr3:uid="{00000000-0010-0000-0100-000002000000}" name="Campo"/>
    <tableColumn id="3" xr3:uid="{00000000-0010-0000-0100-000003000000}" name="Tipo físico"/>
    <tableColumn id="4" xr3:uid="{00000000-0010-0000-0100-000004000000}" name="Papel"/>
    <tableColumn id="5" xr3:uid="{00000000-0010-0000-0100-000005000000}" name="Descrição"/>
    <tableColumn id="6" xr3:uid="{00000000-0010-0000-0100-000006000000}" name="Domínio / regra observada"/>
    <tableColumn id="7" xr3:uid="{00000000-0010-0000-0100-000007000000}" name="Origem / linh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acionamentosTable" displayName="RelacionamentosTable" ref="A1:F5" totalsRowShown="0">
  <tableColumns count="6">
    <tableColumn id="1" xr3:uid="{00000000-0010-0000-0200-000001000000}" name="Tabela origem"/>
    <tableColumn id="2" xr3:uid="{00000000-0010-0000-0200-000002000000}" name="Campo origem"/>
    <tableColumn id="3" xr3:uid="{00000000-0010-0000-0200-000003000000}" name="Tabela destino"/>
    <tableColumn id="4" xr3:uid="{00000000-0010-0000-0200-000004000000}" name="Campo destino"/>
    <tableColumn id="5" xr3:uid="{00000000-0010-0000-0200-000005000000}" name="Cardinalidade esperada"/>
    <tableColumn id="6" xr3:uid="{00000000-0010-0000-0200-000006000000}" name="Reg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alidadeTable" displayName="QualidadeTable" ref="A1:E10" totalsRowShown="0">
  <tableColumns count="5">
    <tableColumn id="1" xr3:uid="{00000000-0010-0000-0300-000001000000}" name="Dimensão de qualidade"/>
    <tableColumn id="2" xr3:uid="{00000000-0010-0000-0300-000002000000}" name="Objeto"/>
    <tableColumn id="3" xr3:uid="{00000000-0010-0000-0300-000003000000}" name="Resultado observado"/>
    <tableColumn id="4" xr3:uid="{00000000-0010-0000-0300-000004000000}" name="Status"/>
    <tableColumn id="5" xr3:uid="{00000000-0010-0000-0300-000005000000}" name="Interpretação / reg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ntesTable" displayName="FontesTable" ref="A1:D4" totalsRowShown="0">
  <tableColumns count="4">
    <tableColumn id="1" xr3:uid="{00000000-0010-0000-0400-000001000000}" name="Fonte"/>
    <tableColumn id="2" xr3:uid="{00000000-0010-0000-0400-000002000000}" name="Uso no modelo"/>
    <tableColumn id="3" xr3:uid="{00000000-0010-0000-0400-000003000000}" name="Observação"/>
    <tableColumn id="4" xr3:uid="{00000000-0010-0000-0400-000004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A8" sqref="A8"/>
    </sheetView>
  </sheetViews>
  <sheetFormatPr defaultRowHeight="13.8"/>
  <cols>
    <col min="1" max="1" width="26" bestFit="1" customWidth="1"/>
    <col min="2" max="2" width="8" bestFit="1" customWidth="1"/>
    <col min="3" max="3" width="8.8984375" bestFit="1" customWidth="1"/>
    <col min="4" max="4" width="31.796875" bestFit="1" customWidth="1"/>
    <col min="5" max="5" width="10.8984375" bestFit="1" customWidth="1"/>
    <col min="6" max="6" width="55" customWidth="1"/>
  </cols>
  <sheetData>
    <row r="1" spans="1: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>
        <v>2434</v>
      </c>
      <c r="F2" s="2" t="s">
        <v>10</v>
      </c>
    </row>
    <row r="3" spans="1:6">
      <c r="A3" s="2" t="s">
        <v>11</v>
      </c>
      <c r="B3" s="2" t="s">
        <v>7</v>
      </c>
      <c r="C3" s="2" t="s">
        <v>8</v>
      </c>
      <c r="D3" s="2" t="s">
        <v>12</v>
      </c>
      <c r="E3" s="3">
        <v>1319</v>
      </c>
      <c r="F3" s="2" t="s">
        <v>13</v>
      </c>
    </row>
    <row r="4" spans="1:6" ht="27.6">
      <c r="A4" s="2" t="s">
        <v>14</v>
      </c>
      <c r="B4" s="2" t="s">
        <v>7</v>
      </c>
      <c r="C4" s="2" t="s">
        <v>8</v>
      </c>
      <c r="D4" s="2" t="s">
        <v>15</v>
      </c>
      <c r="E4" s="3">
        <v>311</v>
      </c>
      <c r="F4" s="2" t="s">
        <v>16</v>
      </c>
    </row>
    <row r="5" spans="1:6" ht="41.4">
      <c r="A5" s="2" t="s">
        <v>17</v>
      </c>
      <c r="B5" s="2" t="s">
        <v>7</v>
      </c>
      <c r="C5" s="2" t="s">
        <v>8</v>
      </c>
      <c r="D5" s="2" t="s">
        <v>18</v>
      </c>
      <c r="E5" s="3">
        <v>34</v>
      </c>
      <c r="F5" s="2" t="s">
        <v>19</v>
      </c>
    </row>
    <row r="6" spans="1:6" ht="27.6">
      <c r="A6" s="2" t="s">
        <v>20</v>
      </c>
      <c r="B6" s="2" t="s">
        <v>7</v>
      </c>
      <c r="C6" s="2" t="s">
        <v>21</v>
      </c>
      <c r="D6" s="2" t="s">
        <v>22</v>
      </c>
      <c r="E6" s="3">
        <v>55046</v>
      </c>
      <c r="F6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3.8"/>
  <cols>
    <col min="1" max="1" width="26" bestFit="1" customWidth="1"/>
    <col min="2" max="2" width="20.5" bestFit="1" customWidth="1"/>
    <col min="3" max="3" width="9.8984375" bestFit="1" customWidth="1"/>
    <col min="4" max="4" width="13.3984375" bestFit="1" customWidth="1"/>
    <col min="5" max="5" width="45.09765625" bestFit="1" customWidth="1"/>
    <col min="6" max="6" width="53.09765625" bestFit="1" customWidth="1"/>
    <col min="7" max="7" width="46.296875" bestFit="1" customWidth="1"/>
  </cols>
  <sheetData>
    <row r="1" spans="1:7">
      <c r="A1" s="1" t="s">
        <v>0</v>
      </c>
      <c r="B1" s="1" t="s">
        <v>24</v>
      </c>
      <c r="C1" s="1" t="s">
        <v>25</v>
      </c>
      <c r="D1" s="1" t="s">
        <v>26</v>
      </c>
      <c r="E1" s="1" t="s">
        <v>5</v>
      </c>
      <c r="F1" s="1" t="s">
        <v>27</v>
      </c>
      <c r="G1" s="1" t="s">
        <v>28</v>
      </c>
    </row>
    <row r="2" spans="1:7">
      <c r="A2" s="2" t="s">
        <v>6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 spans="1:7">
      <c r="A3" s="2" t="s">
        <v>6</v>
      </c>
      <c r="B3" s="2" t="s">
        <v>35</v>
      </c>
      <c r="C3" s="2" t="s">
        <v>36</v>
      </c>
      <c r="D3" s="2" t="s">
        <v>31</v>
      </c>
      <c r="E3" s="2" t="s">
        <v>37</v>
      </c>
      <c r="F3" s="2" t="s">
        <v>38</v>
      </c>
      <c r="G3" s="2" t="s">
        <v>39</v>
      </c>
    </row>
    <row r="4" spans="1:7">
      <c r="A4" s="2" t="s">
        <v>6</v>
      </c>
      <c r="B4" s="2" t="s">
        <v>40</v>
      </c>
      <c r="C4" s="2" t="s">
        <v>36</v>
      </c>
      <c r="D4" s="2" t="s">
        <v>41</v>
      </c>
      <c r="E4" s="2" t="s">
        <v>42</v>
      </c>
      <c r="F4" s="2" t="s">
        <v>43</v>
      </c>
      <c r="G4" s="2" t="s">
        <v>44</v>
      </c>
    </row>
    <row r="5" spans="1:7">
      <c r="A5" s="2" t="s">
        <v>6</v>
      </c>
      <c r="B5" s="2" t="s">
        <v>45</v>
      </c>
      <c r="C5" s="2" t="s">
        <v>36</v>
      </c>
      <c r="D5" s="2" t="s">
        <v>41</v>
      </c>
      <c r="E5" s="2" t="s">
        <v>46</v>
      </c>
      <c r="F5" s="2" t="s">
        <v>47</v>
      </c>
      <c r="G5" s="2" t="s">
        <v>44</v>
      </c>
    </row>
    <row r="6" spans="1:7">
      <c r="A6" s="2" t="s">
        <v>6</v>
      </c>
      <c r="B6" s="2" t="s">
        <v>48</v>
      </c>
      <c r="C6" s="2" t="s">
        <v>36</v>
      </c>
      <c r="D6" s="2" t="s">
        <v>41</v>
      </c>
      <c r="E6" s="2" t="s">
        <v>49</v>
      </c>
      <c r="F6" s="2" t="s">
        <v>50</v>
      </c>
      <c r="G6" s="2" t="s">
        <v>44</v>
      </c>
    </row>
    <row r="7" spans="1:7">
      <c r="A7" s="2" t="s">
        <v>6</v>
      </c>
      <c r="B7" s="2" t="s">
        <v>51</v>
      </c>
      <c r="C7" s="2" t="s">
        <v>36</v>
      </c>
      <c r="D7" s="2" t="s">
        <v>41</v>
      </c>
      <c r="E7" s="2" t="s">
        <v>52</v>
      </c>
      <c r="F7" s="2" t="s">
        <v>53</v>
      </c>
      <c r="G7" s="2" t="s">
        <v>44</v>
      </c>
    </row>
    <row r="8" spans="1:7">
      <c r="A8" s="2" t="s">
        <v>6</v>
      </c>
      <c r="B8" s="2" t="s">
        <v>54</v>
      </c>
      <c r="C8" s="2" t="s">
        <v>55</v>
      </c>
      <c r="D8" s="2" t="s">
        <v>41</v>
      </c>
      <c r="E8" s="2" t="s">
        <v>56</v>
      </c>
      <c r="F8" s="2" t="s">
        <v>57</v>
      </c>
      <c r="G8" s="2" t="s">
        <v>58</v>
      </c>
    </row>
    <row r="9" spans="1:7">
      <c r="A9" s="2" t="s">
        <v>6</v>
      </c>
      <c r="B9" s="2" t="s">
        <v>59</v>
      </c>
      <c r="C9" s="2" t="s">
        <v>36</v>
      </c>
      <c r="D9" s="2" t="s">
        <v>41</v>
      </c>
      <c r="E9" s="2" t="s">
        <v>60</v>
      </c>
      <c r="F9" s="2" t="s">
        <v>61</v>
      </c>
      <c r="G9" s="2" t="s">
        <v>44</v>
      </c>
    </row>
    <row r="10" spans="1:7" ht="27.6">
      <c r="A10" s="2" t="s">
        <v>11</v>
      </c>
      <c r="B10" s="2" t="s">
        <v>62</v>
      </c>
      <c r="C10" s="2" t="s">
        <v>36</v>
      </c>
      <c r="D10" s="2" t="s">
        <v>31</v>
      </c>
      <c r="E10" s="2" t="s">
        <v>63</v>
      </c>
      <c r="F10" s="2" t="s">
        <v>64</v>
      </c>
      <c r="G10" s="2" t="s">
        <v>65</v>
      </c>
    </row>
    <row r="11" spans="1:7">
      <c r="A11" s="2" t="s">
        <v>11</v>
      </c>
      <c r="B11" s="2" t="s">
        <v>66</v>
      </c>
      <c r="C11" s="2" t="s">
        <v>55</v>
      </c>
      <c r="D11" s="2" t="s">
        <v>41</v>
      </c>
      <c r="E11" s="2" t="s">
        <v>67</v>
      </c>
      <c r="F11" s="2" t="s">
        <v>68</v>
      </c>
      <c r="G11" s="2" t="s">
        <v>69</v>
      </c>
    </row>
    <row r="12" spans="1:7">
      <c r="A12" s="2" t="s">
        <v>11</v>
      </c>
      <c r="B12" s="2" t="s">
        <v>70</v>
      </c>
      <c r="C12" s="2" t="s">
        <v>36</v>
      </c>
      <c r="D12" s="2" t="s">
        <v>41</v>
      </c>
      <c r="E12" s="2" t="s">
        <v>71</v>
      </c>
      <c r="F12" s="2" t="s">
        <v>72</v>
      </c>
      <c r="G12" s="2" t="s">
        <v>73</v>
      </c>
    </row>
    <row r="13" spans="1:7">
      <c r="A13" s="2" t="s">
        <v>11</v>
      </c>
      <c r="B13" s="2" t="s">
        <v>74</v>
      </c>
      <c r="C13" s="2" t="s">
        <v>36</v>
      </c>
      <c r="D13" s="2" t="s">
        <v>41</v>
      </c>
      <c r="E13" s="2" t="s">
        <v>75</v>
      </c>
      <c r="F13" s="2" t="s">
        <v>76</v>
      </c>
      <c r="G13" s="2" t="s">
        <v>77</v>
      </c>
    </row>
    <row r="14" spans="1:7">
      <c r="A14" s="2" t="s">
        <v>11</v>
      </c>
      <c r="B14" s="2" t="s">
        <v>78</v>
      </c>
      <c r="C14" s="2" t="s">
        <v>36</v>
      </c>
      <c r="D14" s="2" t="s">
        <v>41</v>
      </c>
      <c r="E14" s="2" t="s">
        <v>79</v>
      </c>
      <c r="F14" s="2" t="s">
        <v>76</v>
      </c>
      <c r="G14" s="2" t="s">
        <v>77</v>
      </c>
    </row>
    <row r="15" spans="1:7">
      <c r="A15" s="2" t="s">
        <v>11</v>
      </c>
      <c r="B15" s="2" t="s">
        <v>80</v>
      </c>
      <c r="C15" s="2" t="s">
        <v>55</v>
      </c>
      <c r="D15" s="2" t="s">
        <v>41</v>
      </c>
      <c r="E15" s="2" t="s">
        <v>81</v>
      </c>
      <c r="F15" s="2" t="s">
        <v>82</v>
      </c>
      <c r="G15" s="2" t="s">
        <v>83</v>
      </c>
    </row>
    <row r="16" spans="1:7" ht="27.6">
      <c r="A16" s="2" t="s">
        <v>14</v>
      </c>
      <c r="B16" s="2" t="s">
        <v>84</v>
      </c>
      <c r="C16" s="2" t="s">
        <v>85</v>
      </c>
      <c r="D16" s="2" t="s">
        <v>31</v>
      </c>
      <c r="E16" s="2" t="s">
        <v>86</v>
      </c>
      <c r="F16" s="2" t="s">
        <v>87</v>
      </c>
      <c r="G16" s="2" t="s">
        <v>88</v>
      </c>
    </row>
    <row r="17" spans="1:7" ht="27.6">
      <c r="A17" s="2" t="s">
        <v>14</v>
      </c>
      <c r="B17" s="2" t="s">
        <v>89</v>
      </c>
      <c r="C17" s="2" t="s">
        <v>55</v>
      </c>
      <c r="D17" s="2" t="s">
        <v>41</v>
      </c>
      <c r="E17" s="2" t="s">
        <v>90</v>
      </c>
      <c r="F17" s="2" t="s">
        <v>91</v>
      </c>
      <c r="G17" s="2" t="s">
        <v>92</v>
      </c>
    </row>
    <row r="18" spans="1:7" ht="27.6">
      <c r="A18" s="2" t="s">
        <v>17</v>
      </c>
      <c r="B18" s="2" t="s">
        <v>93</v>
      </c>
      <c r="C18" s="2" t="s">
        <v>36</v>
      </c>
      <c r="D18" s="2" t="s">
        <v>31</v>
      </c>
      <c r="E18" s="2" t="s">
        <v>94</v>
      </c>
      <c r="F18" s="2" t="s">
        <v>95</v>
      </c>
      <c r="G18" s="2" t="s">
        <v>96</v>
      </c>
    </row>
    <row r="19" spans="1:7">
      <c r="A19" s="2" t="s">
        <v>17</v>
      </c>
      <c r="B19" s="2" t="s">
        <v>97</v>
      </c>
      <c r="C19" s="2" t="s">
        <v>55</v>
      </c>
      <c r="D19" s="2" t="s">
        <v>41</v>
      </c>
      <c r="E19" s="2" t="s">
        <v>98</v>
      </c>
      <c r="F19" s="2" t="s">
        <v>99</v>
      </c>
      <c r="G19" s="2" t="s">
        <v>100</v>
      </c>
    </row>
    <row r="20" spans="1:7">
      <c r="A20" s="2" t="s">
        <v>17</v>
      </c>
      <c r="B20" s="2" t="s">
        <v>101</v>
      </c>
      <c r="C20" s="2" t="s">
        <v>36</v>
      </c>
      <c r="D20" s="2" t="s">
        <v>41</v>
      </c>
      <c r="E20" s="2" t="s">
        <v>102</v>
      </c>
      <c r="F20" s="2" t="s">
        <v>103</v>
      </c>
      <c r="G20" s="2" t="s">
        <v>100</v>
      </c>
    </row>
    <row r="21" spans="1:7">
      <c r="A21" s="2" t="s">
        <v>20</v>
      </c>
      <c r="B21" s="2" t="s">
        <v>104</v>
      </c>
      <c r="C21" s="2" t="s">
        <v>55</v>
      </c>
      <c r="D21" s="2" t="s">
        <v>105</v>
      </c>
      <c r="E21" s="2" t="s">
        <v>106</v>
      </c>
      <c r="F21" s="2" t="s">
        <v>107</v>
      </c>
      <c r="G21" s="2" t="s">
        <v>108</v>
      </c>
    </row>
    <row r="22" spans="1:7">
      <c r="A22" s="2" t="s">
        <v>20</v>
      </c>
      <c r="B22" s="2" t="s">
        <v>35</v>
      </c>
      <c r="C22" s="2" t="s">
        <v>36</v>
      </c>
      <c r="D22" s="2" t="s">
        <v>109</v>
      </c>
      <c r="E22" s="2" t="s">
        <v>110</v>
      </c>
      <c r="F22" s="2" t="s">
        <v>111</v>
      </c>
      <c r="G22" s="2" t="s">
        <v>39</v>
      </c>
    </row>
    <row r="23" spans="1:7">
      <c r="A23" s="2" t="s">
        <v>20</v>
      </c>
      <c r="B23" s="2" t="s">
        <v>62</v>
      </c>
      <c r="C23" s="2" t="s">
        <v>36</v>
      </c>
      <c r="D23" s="2" t="s">
        <v>109</v>
      </c>
      <c r="E23" s="2" t="s">
        <v>112</v>
      </c>
      <c r="F23" s="2" t="s">
        <v>111</v>
      </c>
      <c r="G23" s="2" t="s">
        <v>113</v>
      </c>
    </row>
    <row r="24" spans="1:7">
      <c r="A24" s="2" t="s">
        <v>20</v>
      </c>
      <c r="B24" s="2" t="s">
        <v>84</v>
      </c>
      <c r="C24" s="2" t="s">
        <v>85</v>
      </c>
      <c r="D24" s="2" t="s">
        <v>109</v>
      </c>
      <c r="E24" s="2" t="s">
        <v>114</v>
      </c>
      <c r="F24" s="2" t="s">
        <v>115</v>
      </c>
      <c r="G24" s="2" t="s">
        <v>116</v>
      </c>
    </row>
    <row r="25" spans="1:7">
      <c r="A25" s="2" t="s">
        <v>20</v>
      </c>
      <c r="B25" s="2" t="s">
        <v>93</v>
      </c>
      <c r="C25" s="2" t="s">
        <v>36</v>
      </c>
      <c r="D25" s="2" t="s">
        <v>109</v>
      </c>
      <c r="E25" s="2" t="s">
        <v>117</v>
      </c>
      <c r="F25" s="2" t="s">
        <v>118</v>
      </c>
      <c r="G25" s="2" t="s">
        <v>119</v>
      </c>
    </row>
    <row r="26" spans="1:7">
      <c r="A26" s="2" t="s">
        <v>20</v>
      </c>
      <c r="B26" s="2" t="s">
        <v>120</v>
      </c>
      <c r="C26" s="2" t="s">
        <v>36</v>
      </c>
      <c r="D26" s="2" t="s">
        <v>121</v>
      </c>
      <c r="E26" s="2" t="s">
        <v>122</v>
      </c>
      <c r="F26" s="2" t="s">
        <v>123</v>
      </c>
      <c r="G26" s="2" t="s">
        <v>108</v>
      </c>
    </row>
    <row r="27" spans="1:7" ht="27.6">
      <c r="A27" s="2" t="s">
        <v>20</v>
      </c>
      <c r="B27" s="2" t="s">
        <v>124</v>
      </c>
      <c r="C27" s="2" t="s">
        <v>55</v>
      </c>
      <c r="D27" s="2" t="s">
        <v>125</v>
      </c>
      <c r="E27" s="2" t="s">
        <v>126</v>
      </c>
      <c r="F27" s="2" t="s">
        <v>127</v>
      </c>
      <c r="G27" s="2" t="s">
        <v>128</v>
      </c>
    </row>
    <row r="28" spans="1:7">
      <c r="A28" s="2" t="s">
        <v>20</v>
      </c>
      <c r="B28" s="2" t="s">
        <v>129</v>
      </c>
      <c r="C28" s="2" t="s">
        <v>36</v>
      </c>
      <c r="D28" s="2" t="s">
        <v>121</v>
      </c>
      <c r="E28" s="2" t="s">
        <v>130</v>
      </c>
      <c r="F28" s="2" t="s">
        <v>131</v>
      </c>
      <c r="G28" s="2" t="s">
        <v>132</v>
      </c>
    </row>
    <row r="29" spans="1:7">
      <c r="A29" s="2" t="s">
        <v>20</v>
      </c>
      <c r="B29" s="2" t="s">
        <v>133</v>
      </c>
      <c r="C29" s="2" t="s">
        <v>36</v>
      </c>
      <c r="D29" s="2" t="s">
        <v>121</v>
      </c>
      <c r="E29" s="2" t="s">
        <v>134</v>
      </c>
      <c r="F29" s="2" t="s">
        <v>131</v>
      </c>
      <c r="G29" s="2" t="s">
        <v>132</v>
      </c>
    </row>
    <row r="30" spans="1:7">
      <c r="A30" s="2" t="s">
        <v>20</v>
      </c>
      <c r="B30" s="2" t="s">
        <v>135</v>
      </c>
      <c r="C30" s="2" t="s">
        <v>36</v>
      </c>
      <c r="D30" s="2" t="s">
        <v>121</v>
      </c>
      <c r="E30" s="2" t="s">
        <v>136</v>
      </c>
      <c r="F30" s="2" t="s">
        <v>137</v>
      </c>
      <c r="G30" s="2" t="s">
        <v>132</v>
      </c>
    </row>
    <row r="31" spans="1:7">
      <c r="A31" s="2" t="s">
        <v>20</v>
      </c>
      <c r="B31" s="2" t="s">
        <v>138</v>
      </c>
      <c r="C31" s="2" t="s">
        <v>55</v>
      </c>
      <c r="D31" s="2" t="s">
        <v>139</v>
      </c>
      <c r="E31" s="2" t="s">
        <v>140</v>
      </c>
      <c r="F31" s="2" t="s">
        <v>141</v>
      </c>
      <c r="G31" s="2" t="s">
        <v>142</v>
      </c>
    </row>
    <row r="32" spans="1:7">
      <c r="A32" s="2" t="s">
        <v>20</v>
      </c>
      <c r="B32" s="2" t="s">
        <v>143</v>
      </c>
      <c r="C32" s="2" t="s">
        <v>55</v>
      </c>
      <c r="D32" s="2" t="s">
        <v>139</v>
      </c>
      <c r="E32" s="2" t="s">
        <v>144</v>
      </c>
      <c r="F32" s="2" t="s">
        <v>141</v>
      </c>
      <c r="G32" s="2" t="s">
        <v>145</v>
      </c>
    </row>
    <row r="33" spans="1:7">
      <c r="A33" s="2" t="s">
        <v>20</v>
      </c>
      <c r="B33" s="2" t="s">
        <v>146</v>
      </c>
      <c r="C33" s="2" t="s">
        <v>55</v>
      </c>
      <c r="D33" s="2" t="s">
        <v>139</v>
      </c>
      <c r="E33" s="2" t="s">
        <v>147</v>
      </c>
      <c r="F33" s="2" t="s">
        <v>141</v>
      </c>
      <c r="G33" s="2" t="s">
        <v>148</v>
      </c>
    </row>
    <row r="34" spans="1:7">
      <c r="A34" s="2" t="s">
        <v>20</v>
      </c>
      <c r="B34" s="2" t="s">
        <v>149</v>
      </c>
      <c r="C34" s="2" t="s">
        <v>55</v>
      </c>
      <c r="D34" s="2" t="s">
        <v>139</v>
      </c>
      <c r="E34" s="2" t="s">
        <v>150</v>
      </c>
      <c r="F34" s="2" t="s">
        <v>141</v>
      </c>
      <c r="G34" s="2" t="s">
        <v>151</v>
      </c>
    </row>
    <row r="35" spans="1:7">
      <c r="A35" s="2" t="s">
        <v>20</v>
      </c>
      <c r="B35" s="2" t="s">
        <v>152</v>
      </c>
      <c r="C35" s="2" t="s">
        <v>55</v>
      </c>
      <c r="D35" s="2" t="s">
        <v>139</v>
      </c>
      <c r="E35" s="2" t="s">
        <v>153</v>
      </c>
      <c r="F35" s="2" t="s">
        <v>141</v>
      </c>
      <c r="G35" s="2" t="s">
        <v>154</v>
      </c>
    </row>
    <row r="36" spans="1:7">
      <c r="A36" s="2" t="s">
        <v>20</v>
      </c>
      <c r="B36" s="2" t="s">
        <v>155</v>
      </c>
      <c r="C36" s="2" t="s">
        <v>55</v>
      </c>
      <c r="D36" s="2" t="s">
        <v>139</v>
      </c>
      <c r="E36" s="2" t="s">
        <v>156</v>
      </c>
      <c r="F36" s="2" t="s">
        <v>141</v>
      </c>
      <c r="G36" s="2" t="s">
        <v>157</v>
      </c>
    </row>
    <row r="37" spans="1:7">
      <c r="A37" s="2" t="s">
        <v>20</v>
      </c>
      <c r="B37" s="2" t="s">
        <v>158</v>
      </c>
      <c r="C37" s="2" t="s">
        <v>55</v>
      </c>
      <c r="D37" s="2" t="s">
        <v>139</v>
      </c>
      <c r="E37" s="2" t="s">
        <v>159</v>
      </c>
      <c r="F37" s="2" t="s">
        <v>141</v>
      </c>
      <c r="G37" s="2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4" sqref="E4"/>
    </sheetView>
  </sheetViews>
  <sheetFormatPr defaultRowHeight="13.8"/>
  <cols>
    <col min="1" max="1" width="26" bestFit="1" customWidth="1"/>
    <col min="2" max="2" width="13.8984375" bestFit="1" customWidth="1"/>
    <col min="3" max="3" width="23.59765625" bestFit="1" customWidth="1"/>
    <col min="4" max="4" width="14.19921875" bestFit="1" customWidth="1"/>
    <col min="5" max="5" width="21.796875" bestFit="1" customWidth="1"/>
    <col min="6" max="6" width="37.19921875" bestFit="1" customWidth="1"/>
  </cols>
  <sheetData>
    <row r="1" spans="1:6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spans="1:6">
      <c r="A2" s="2" t="s">
        <v>20</v>
      </c>
      <c r="B2" s="2" t="s">
        <v>35</v>
      </c>
      <c r="C2" s="2" t="s">
        <v>6</v>
      </c>
      <c r="D2" s="2" t="s">
        <v>35</v>
      </c>
      <c r="E2" s="2" t="s">
        <v>167</v>
      </c>
      <c r="F2" s="2" t="s">
        <v>168</v>
      </c>
    </row>
    <row r="3" spans="1:6">
      <c r="A3" s="2" t="s">
        <v>20</v>
      </c>
      <c r="B3" s="2" t="s">
        <v>62</v>
      </c>
      <c r="C3" s="2" t="s">
        <v>11</v>
      </c>
      <c r="D3" s="2" t="s">
        <v>62</v>
      </c>
      <c r="E3" s="2" t="s">
        <v>167</v>
      </c>
      <c r="F3" s="2" t="s">
        <v>168</v>
      </c>
    </row>
    <row r="4" spans="1:6">
      <c r="A4" s="2" t="s">
        <v>20</v>
      </c>
      <c r="B4" s="2" t="s">
        <v>84</v>
      </c>
      <c r="C4" s="2" t="s">
        <v>14</v>
      </c>
      <c r="D4" s="2" t="s">
        <v>84</v>
      </c>
      <c r="E4" s="2" t="s">
        <v>167</v>
      </c>
      <c r="F4" s="2" t="s">
        <v>169</v>
      </c>
    </row>
    <row r="5" spans="1:6">
      <c r="A5" s="2" t="s">
        <v>20</v>
      </c>
      <c r="B5" s="2" t="s">
        <v>93</v>
      </c>
      <c r="C5" s="2" t="s">
        <v>17</v>
      </c>
      <c r="D5" s="2" t="s">
        <v>93</v>
      </c>
      <c r="E5" s="2" t="s">
        <v>167</v>
      </c>
      <c r="F5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D4" sqref="D4"/>
    </sheetView>
  </sheetViews>
  <sheetFormatPr defaultRowHeight="13.8"/>
  <cols>
    <col min="1" max="1" width="21.69921875" bestFit="1" customWidth="1"/>
    <col min="2" max="2" width="29" bestFit="1" customWidth="1"/>
    <col min="3" max="3" width="57" bestFit="1" customWidth="1"/>
    <col min="4" max="4" width="9.796875" bestFit="1" customWidth="1"/>
    <col min="5" max="5" width="59.296875" bestFit="1" customWidth="1"/>
  </cols>
  <sheetData>
    <row r="1" spans="1: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</row>
    <row r="2" spans="1:5">
      <c r="A2" s="2" t="s">
        <v>176</v>
      </c>
      <c r="B2" s="2" t="s">
        <v>177</v>
      </c>
      <c r="C2" s="2" t="s">
        <v>178</v>
      </c>
      <c r="D2" s="2" t="s">
        <v>179</v>
      </c>
      <c r="E2" s="2" t="s">
        <v>180</v>
      </c>
    </row>
    <row r="3" spans="1:5">
      <c r="A3" s="2" t="s">
        <v>176</v>
      </c>
      <c r="B3" s="2" t="s">
        <v>181</v>
      </c>
      <c r="C3" s="2" t="s">
        <v>182</v>
      </c>
      <c r="D3" s="2" t="s">
        <v>183</v>
      </c>
      <c r="E3" s="2" t="s">
        <v>184</v>
      </c>
    </row>
    <row r="4" spans="1:5">
      <c r="A4" s="2" t="s">
        <v>185</v>
      </c>
      <c r="B4" s="2" t="s">
        <v>104</v>
      </c>
      <c r="C4" s="2" t="s">
        <v>186</v>
      </c>
      <c r="D4" s="2" t="s">
        <v>183</v>
      </c>
      <c r="E4" s="2" t="s">
        <v>187</v>
      </c>
    </row>
    <row r="5" spans="1:5">
      <c r="A5" s="2" t="s">
        <v>188</v>
      </c>
      <c r="B5" s="2" t="s">
        <v>189</v>
      </c>
      <c r="C5" s="2" t="s">
        <v>190</v>
      </c>
      <c r="D5" s="2" t="s">
        <v>183</v>
      </c>
      <c r="E5" s="2" t="s">
        <v>191</v>
      </c>
    </row>
    <row r="6" spans="1:5">
      <c r="A6" s="2" t="s">
        <v>192</v>
      </c>
      <c r="B6" s="2" t="s">
        <v>193</v>
      </c>
      <c r="C6" s="2" t="s">
        <v>194</v>
      </c>
      <c r="D6" s="2" t="s">
        <v>183</v>
      </c>
      <c r="E6" s="2" t="s">
        <v>195</v>
      </c>
    </row>
    <row r="7" spans="1:5">
      <c r="A7" s="2" t="s">
        <v>196</v>
      </c>
      <c r="B7" s="2" t="s">
        <v>7</v>
      </c>
      <c r="C7" s="2" t="s">
        <v>197</v>
      </c>
      <c r="D7" s="2" t="s">
        <v>183</v>
      </c>
      <c r="E7" s="2" t="s">
        <v>198</v>
      </c>
    </row>
    <row r="8" spans="1:5" ht="27.6">
      <c r="A8" s="2" t="s">
        <v>199</v>
      </c>
      <c r="B8" s="2" t="s">
        <v>200</v>
      </c>
      <c r="C8" s="2" t="s">
        <v>201</v>
      </c>
      <c r="D8" s="2" t="s">
        <v>179</v>
      </c>
      <c r="E8" s="2" t="s">
        <v>202</v>
      </c>
    </row>
    <row r="9" spans="1:5">
      <c r="A9" s="2" t="s">
        <v>203</v>
      </c>
      <c r="B9" s="2" t="s">
        <v>204</v>
      </c>
      <c r="C9" s="2" t="s">
        <v>205</v>
      </c>
      <c r="D9" s="2" t="s">
        <v>183</v>
      </c>
      <c r="E9" s="2" t="s">
        <v>206</v>
      </c>
    </row>
    <row r="10" spans="1:5" ht="27.6">
      <c r="A10" s="2" t="s">
        <v>207</v>
      </c>
      <c r="B10" s="2" t="s">
        <v>208</v>
      </c>
      <c r="C10" s="2" t="s">
        <v>209</v>
      </c>
      <c r="D10" s="2" t="s">
        <v>179</v>
      </c>
      <c r="E10" s="2" t="s">
        <v>210</v>
      </c>
    </row>
  </sheetData>
  <conditionalFormatting sqref="D2:D10">
    <cfRule type="expression" dxfId="1" priority="1">
      <formula>D2="ATENCAO"</formula>
    </cfRule>
    <cfRule type="expression" dxfId="0" priority="2">
      <formula>D2="OK"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C2" sqref="C2"/>
    </sheetView>
  </sheetViews>
  <sheetFormatPr defaultRowHeight="13.8"/>
  <cols>
    <col min="1" max="1" width="35.3984375" bestFit="1" customWidth="1"/>
    <col min="2" max="2" width="36.296875" bestFit="1" customWidth="1"/>
    <col min="3" max="3" width="67.09765625" bestFit="1" customWidth="1"/>
    <col min="4" max="4" width="74.59765625" bestFit="1" customWidth="1"/>
  </cols>
  <sheetData>
    <row r="1" spans="1:4">
      <c r="A1" s="1" t="s">
        <v>211</v>
      </c>
      <c r="B1" s="1" t="s">
        <v>212</v>
      </c>
      <c r="C1" s="1" t="s">
        <v>213</v>
      </c>
      <c r="D1" s="1" t="s">
        <v>214</v>
      </c>
    </row>
    <row r="2" spans="1:4" ht="27.6">
      <c r="A2" s="2" t="s">
        <v>215</v>
      </c>
      <c r="B2" s="2" t="s">
        <v>216</v>
      </c>
      <c r="C2" s="2" t="s">
        <v>217</v>
      </c>
      <c r="D2" s="2" t="s">
        <v>218</v>
      </c>
    </row>
    <row r="3" spans="1:4" ht="27.6">
      <c r="A3" s="2" t="s">
        <v>219</v>
      </c>
      <c r="B3" s="2" t="s">
        <v>220</v>
      </c>
      <c r="C3" s="2" t="s">
        <v>221</v>
      </c>
      <c r="D3" s="2" t="s">
        <v>222</v>
      </c>
    </row>
    <row r="4" spans="1:4" ht="27.6">
      <c r="A4" s="2" t="s">
        <v>223</v>
      </c>
      <c r="B4" s="2" t="s">
        <v>224</v>
      </c>
      <c r="C4" s="2" t="s">
        <v>225</v>
      </c>
      <c r="D4" s="2" t="s">
        <v>226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3" sqref="B3"/>
    </sheetView>
  </sheetViews>
  <sheetFormatPr defaultRowHeight="13.8"/>
  <cols>
    <col min="1" max="1" width="20.3984375" bestFit="1" customWidth="1"/>
    <col min="2" max="2" width="94.19921875" bestFit="1" customWidth="1"/>
  </cols>
  <sheetData>
    <row r="1" spans="1:2" ht="17.399999999999999">
      <c r="A1" s="5" t="s">
        <v>227</v>
      </c>
      <c r="B1" s="5"/>
    </row>
    <row r="2" spans="1:2">
      <c r="A2" s="4" t="s">
        <v>228</v>
      </c>
      <c r="B2" s="2" t="s">
        <v>229</v>
      </c>
    </row>
    <row r="3" spans="1:2">
      <c r="A3" s="4" t="s">
        <v>230</v>
      </c>
      <c r="B3" s="2" t="s">
        <v>231</v>
      </c>
    </row>
    <row r="4" spans="1:2" ht="27.6">
      <c r="A4" s="4" t="s">
        <v>232</v>
      </c>
      <c r="B4" s="2" t="s">
        <v>233</v>
      </c>
    </row>
    <row r="5" spans="1:2" ht="27.6">
      <c r="A5" s="4" t="s">
        <v>234</v>
      </c>
      <c r="B5" s="2" t="s">
        <v>235</v>
      </c>
    </row>
    <row r="6" spans="1:2" ht="27.6">
      <c r="A6" s="4" t="s">
        <v>236</v>
      </c>
      <c r="B6" s="2" t="s">
        <v>237</v>
      </c>
    </row>
    <row r="7" spans="1:2" ht="27.6">
      <c r="A7" s="4" t="s">
        <v>238</v>
      </c>
      <c r="B7" s="2" t="s">
        <v>239</v>
      </c>
    </row>
    <row r="8" spans="1:2" ht="27.6">
      <c r="A8" s="4" t="s">
        <v>240</v>
      </c>
      <c r="B8" s="2" t="s">
        <v>241</v>
      </c>
    </row>
    <row r="9" spans="1:2">
      <c r="A9" s="4" t="s">
        <v>242</v>
      </c>
      <c r="B9" s="2" t="s">
        <v>243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Visao_Geral</vt:lpstr>
      <vt:lpstr>Dicionario_Campos</vt:lpstr>
      <vt:lpstr>Relacionamentos</vt:lpstr>
      <vt:lpstr>Qualidade</vt:lpstr>
      <vt:lpstr>Fontes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GONCALVES PORTELLA</cp:lastModifiedBy>
  <dcterms:modified xsi:type="dcterms:W3CDTF">2026-09-19T15:50:56Z</dcterms:modified>
</cp:coreProperties>
</file>